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dealcala-my.sharepoint.com/personal/david_atance_uah_es/Documents/AOF/SIMULACION/CURSO 2026_27/"/>
    </mc:Choice>
  </mc:AlternateContent>
  <xr:revisionPtr revIDLastSave="2" documentId="8_{6E6BB52E-49B0-4BDD-A946-7DC498A97E81}" xr6:coauthVersionLast="47" xr6:coauthVersionMax="47" xr10:uidLastSave="{4D031088-3EDA-4777-BDA1-AB6D807C176A}"/>
  <bookViews>
    <workbookView xWindow="-110" yWindow="-110" windowWidth="19420" windowHeight="10300" xr2:uid="{FBB506BE-FAA8-4870-A003-CEDA06AF72E1}"/>
  </bookViews>
  <sheets>
    <sheet name="Hoja1" sheetId="1" r:id="rId1"/>
  </sheets>
  <definedNames>
    <definedName name="solver_adj" localSheetId="0" hidden="1">Hoja1!$P$5:$P$6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Hoja1!$P$11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1" i="1" l="1"/>
  <c r="P7" i="1"/>
  <c r="P8" i="1"/>
  <c r="M15" i="1"/>
  <c r="M14" i="1"/>
  <c r="M13" i="1"/>
  <c r="M12" i="1"/>
  <c r="M11" i="1"/>
  <c r="M10" i="1"/>
  <c r="M9" i="1"/>
  <c r="M8" i="1"/>
  <c r="M7" i="1"/>
  <c r="M6" i="1"/>
  <c r="M5" i="1"/>
  <c r="L14" i="1"/>
  <c r="L13" i="1"/>
  <c r="L12" i="1"/>
  <c r="L11" i="1"/>
  <c r="L10" i="1"/>
  <c r="L9" i="1"/>
  <c r="L8" i="1"/>
  <c r="L7" i="1"/>
  <c r="L6" i="1"/>
  <c r="L5" i="1"/>
  <c r="F5" i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G5" i="1"/>
  <c r="G15" i="1" l="1"/>
</calcChain>
</file>

<file path=xl/sharedStrings.xml><?xml version="1.0" encoding="utf-8"?>
<sst xmlns="http://schemas.openxmlformats.org/spreadsheetml/2006/main" count="14" uniqueCount="12">
  <si>
    <t>Observación</t>
  </si>
  <si>
    <t>Coste</t>
  </si>
  <si>
    <t xml:space="preserve">Vamos a ajustar </t>
  </si>
  <si>
    <t>Para estimar OLS</t>
  </si>
  <si>
    <t>b0</t>
  </si>
  <si>
    <t>b1</t>
  </si>
  <si>
    <t>Para estimar Log-Likelihood</t>
  </si>
  <si>
    <t>LL</t>
  </si>
  <si>
    <t>N</t>
  </si>
  <si>
    <t>sigma^2</t>
  </si>
  <si>
    <t>SSE</t>
  </si>
  <si>
    <t>Log-Like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</si>
</sst>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498475</xdr:colOff>
      <xdr:row>1</xdr:row>
      <xdr:rowOff>168275</xdr:rowOff>
    </xdr:from>
    <xdr:ext cx="2169953" cy="36138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DD9AE81-4663-F459-159A-2CD98D795C71}"/>
                </a:ext>
              </a:extLst>
            </xdr:cNvPr>
            <xdr:cNvSpPr txBox="1"/>
          </xdr:nvSpPr>
          <xdr:spPr>
            <a:xfrm>
              <a:off x="5070475" y="352425"/>
              <a:ext cx="2169953" cy="3613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𝛽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  <m:sub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sSub>
                      <m:sSubPr>
                        <m:ctrlP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</m:e>
                      <m:sub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𝑖</m:t>
                        </m:r>
                      </m:sub>
                    </m:sSub>
                    <m:r>
                      <m:rPr>
                        <m:nor/>
                      </m:rPr>
                      <a:rPr lang="es-E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​,   </m:t>
                    </m:r>
                    <m:sSub>
                      <m:sSubPr>
                        <m:ctrlP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m:rPr>
                        <m:nor/>
                      </m:rPr>
                      <a:rPr lang="es-E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∼N(0,</m:t>
                    </m:r>
                    <m:sSup>
                      <m:sSupPr>
                        <m:ctrlPr>
                          <a:rPr lang="el-G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l-G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σ</m:t>
                        </m:r>
                      </m:e>
                      <m:sup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s-ES" sz="1100" b="0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ES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DD9AE81-4663-F459-159A-2CD98D795C71}"/>
                </a:ext>
              </a:extLst>
            </xdr:cNvPr>
            <xdr:cNvSpPr txBox="1"/>
          </xdr:nvSpPr>
          <xdr:spPr>
            <a:xfrm>
              <a:off x="5070475" y="352425"/>
              <a:ext cx="2169953" cy="3613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b="0" i="0">
                  <a:latin typeface="Cambria Math" panose="02040503050406030204" pitchFamily="18" charset="0"/>
                </a:rPr>
                <a:t>𝑌_𝑖=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𝛽_0+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𝛽_0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〗_1 𝑋_1+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𝜀_𝑖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"​,   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𝜀_𝑖 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"∼N(0,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 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σ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^2)</a:t>
              </a:r>
              <a:endParaRPr lang="es-ES" sz="1100" b="0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ES" sz="1100"/>
            </a:p>
          </xdr:txBody>
        </xdr:sp>
      </mc:Fallback>
    </mc:AlternateContent>
    <xdr:clientData/>
  </xdr:oneCellAnchor>
  <xdr:twoCellAnchor editAs="oneCell">
    <xdr:from>
      <xdr:col>13</xdr:col>
      <xdr:colOff>419101</xdr:colOff>
      <xdr:row>12</xdr:row>
      <xdr:rowOff>99002</xdr:rowOff>
    </xdr:from>
    <xdr:to>
      <xdr:col>18</xdr:col>
      <xdr:colOff>393701</xdr:colOff>
      <xdr:row>15</xdr:row>
      <xdr:rowOff>19085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1AC9A0-13A9-7FB0-90F5-098A58132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14001" y="2626302"/>
          <a:ext cx="3784600" cy="472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19E8-7FA6-431C-A82D-9C66ED178BD3}">
  <dimension ref="B3:P15"/>
  <sheetViews>
    <sheetView tabSelected="1" topLeftCell="A4" workbookViewId="0">
      <selection activeCell="L16" sqref="L16"/>
    </sheetView>
  </sheetViews>
  <sheetFormatPr baseColWidth="10" defaultRowHeight="14.5" x14ac:dyDescent="0.35"/>
  <cols>
    <col min="13" max="13" width="12.1796875" bestFit="1" customWidth="1"/>
  </cols>
  <sheetData>
    <row r="3" spans="2:16" x14ac:dyDescent="0.35">
      <c r="F3" t="s">
        <v>2</v>
      </c>
    </row>
    <row r="4" spans="2:16" ht="29.5" thickBot="1" x14ac:dyDescent="0.4">
      <c r="B4" s="1" t="s">
        <v>0</v>
      </c>
      <c r="C4" s="1" t="s">
        <v>1</v>
      </c>
      <c r="F4" t="s">
        <v>3</v>
      </c>
      <c r="L4" t="s">
        <v>6</v>
      </c>
    </row>
    <row r="5" spans="2:16" ht="17" thickBot="1" x14ac:dyDescent="0.4">
      <c r="B5" s="1">
        <v>1</v>
      </c>
      <c r="C5" s="1">
        <v>10</v>
      </c>
      <c r="F5">
        <f t="shared" ref="F5:F14" si="0">+C5*$J$6+$J$5</f>
        <v>5.1571879120833106</v>
      </c>
      <c r="G5">
        <f>+(F5-B5)^2</f>
        <v>17.282211336371596</v>
      </c>
      <c r="I5" t="s">
        <v>4</v>
      </c>
      <c r="J5">
        <v>2.0406979523568127</v>
      </c>
      <c r="L5">
        <f>+C5*$J$6+$J$5</f>
        <v>5.1571879120833106</v>
      </c>
      <c r="M5">
        <f>+(L5-C5)^2</f>
        <v>23.452828918872004</v>
      </c>
      <c r="N5" s="2"/>
      <c r="O5" t="s">
        <v>4</v>
      </c>
      <c r="P5">
        <v>2.0406979523568127</v>
      </c>
    </row>
    <row r="6" spans="2:16" ht="17" thickBot="1" x14ac:dyDescent="0.4">
      <c r="B6" s="1">
        <v>2</v>
      </c>
      <c r="C6" s="1">
        <v>12</v>
      </c>
      <c r="F6">
        <f t="shared" si="0"/>
        <v>5.7804859040286098</v>
      </c>
      <c r="G6">
        <f t="shared" ref="G6:G14" si="1">+(F6-B6)^2</f>
        <v>14.292073670559015</v>
      </c>
      <c r="I6" t="s">
        <v>5</v>
      </c>
      <c r="J6">
        <v>0.31164899597264978</v>
      </c>
      <c r="L6">
        <f t="shared" ref="L6:L14" si="2">+C6*$J$6+$J$5</f>
        <v>5.7804859040286098</v>
      </c>
      <c r="M6">
        <f t="shared" ref="M6:M14" si="3">+(L6-C6)^2</f>
        <v>38.68235558998682</v>
      </c>
      <c r="N6" s="2"/>
      <c r="O6" t="s">
        <v>5</v>
      </c>
      <c r="P6">
        <v>0.31164899597264978</v>
      </c>
    </row>
    <row r="7" spans="2:16" ht="17" thickBot="1" x14ac:dyDescent="0.4">
      <c r="B7" s="1">
        <v>3</v>
      </c>
      <c r="C7" s="1">
        <v>9</v>
      </c>
      <c r="F7">
        <f t="shared" si="0"/>
        <v>4.8455389161106606</v>
      </c>
      <c r="G7">
        <f t="shared" si="1"/>
        <v>3.4060138908789117</v>
      </c>
      <c r="L7">
        <f t="shared" si="2"/>
        <v>4.8455389161106606</v>
      </c>
      <c r="M7">
        <f t="shared" si="3"/>
        <v>17.259546897550987</v>
      </c>
      <c r="N7" s="2"/>
      <c r="O7" t="s">
        <v>9</v>
      </c>
      <c r="P7" s="3">
        <f>+M15/P8</f>
        <v>33.108401770797897</v>
      </c>
    </row>
    <row r="8" spans="2:16" ht="17" thickBot="1" x14ac:dyDescent="0.4">
      <c r="B8" s="1">
        <v>4</v>
      </c>
      <c r="C8" s="1">
        <v>11</v>
      </c>
      <c r="F8">
        <f t="shared" si="0"/>
        <v>5.4688369080559607</v>
      </c>
      <c r="G8">
        <f t="shared" si="1"/>
        <v>2.1574818624673946</v>
      </c>
      <c r="L8">
        <f t="shared" si="2"/>
        <v>5.4688369080559607</v>
      </c>
      <c r="M8">
        <f t="shared" si="3"/>
        <v>30.593765149683946</v>
      </c>
      <c r="N8" s="2"/>
      <c r="O8" t="s">
        <v>8</v>
      </c>
      <c r="P8">
        <f>+COUNTA(M5:M14)</f>
        <v>10</v>
      </c>
    </row>
    <row r="9" spans="2:16" x14ac:dyDescent="0.35">
      <c r="B9" s="1">
        <v>5</v>
      </c>
      <c r="C9" s="1">
        <v>13</v>
      </c>
      <c r="F9">
        <f t="shared" si="0"/>
        <v>6.0921349000012599</v>
      </c>
      <c r="G9">
        <f t="shared" si="1"/>
        <v>1.1927586398007619</v>
      </c>
      <c r="L9">
        <f t="shared" si="2"/>
        <v>6.0921349000012599</v>
      </c>
      <c r="M9">
        <f t="shared" si="3"/>
        <v>47.718600239780606</v>
      </c>
    </row>
    <row r="10" spans="2:16" x14ac:dyDescent="0.35">
      <c r="B10" s="1">
        <v>6</v>
      </c>
      <c r="C10" s="1">
        <v>8</v>
      </c>
      <c r="F10">
        <f t="shared" si="0"/>
        <v>4.5338899201380105</v>
      </c>
      <c r="G10">
        <f t="shared" si="1"/>
        <v>2.1494787662729293</v>
      </c>
      <c r="L10">
        <f t="shared" si="2"/>
        <v>4.5338899201380105</v>
      </c>
      <c r="M10">
        <f t="shared" si="3"/>
        <v>12.013919085720888</v>
      </c>
    </row>
    <row r="11" spans="2:16" x14ac:dyDescent="0.35">
      <c r="B11" s="1">
        <v>7</v>
      </c>
      <c r="C11" s="1">
        <v>15</v>
      </c>
      <c r="F11">
        <f t="shared" si="0"/>
        <v>6.7154328919465591</v>
      </c>
      <c r="G11">
        <f t="shared" si="1"/>
        <v>8.0978438985898696E-2</v>
      </c>
      <c r="L11">
        <f t="shared" si="2"/>
        <v>6.7154328919465591</v>
      </c>
      <c r="M11">
        <f t="shared" si="3"/>
        <v>68.634052167840949</v>
      </c>
      <c r="O11" t="s">
        <v>7</v>
      </c>
      <c r="P11">
        <f>-P8/2*LN(2*PI())-P8*LN(SQRT(P7))-1/(2*P7)*M15</f>
        <v>-31.688320732582334</v>
      </c>
    </row>
    <row r="12" spans="2:16" x14ac:dyDescent="0.35">
      <c r="B12" s="1">
        <v>8</v>
      </c>
      <c r="C12" s="1">
        <v>10</v>
      </c>
      <c r="F12">
        <f t="shared" si="0"/>
        <v>5.1571879120833106</v>
      </c>
      <c r="G12">
        <f t="shared" si="1"/>
        <v>8.081580567205247</v>
      </c>
      <c r="L12">
        <f t="shared" si="2"/>
        <v>5.1571879120833106</v>
      </c>
      <c r="M12">
        <f t="shared" si="3"/>
        <v>23.452828918872004</v>
      </c>
    </row>
    <row r="13" spans="2:16" x14ac:dyDescent="0.35">
      <c r="B13" s="1">
        <v>9</v>
      </c>
      <c r="C13" s="1">
        <v>11</v>
      </c>
      <c r="F13">
        <f t="shared" si="0"/>
        <v>5.4688369080559607</v>
      </c>
      <c r="G13">
        <f t="shared" si="1"/>
        <v>12.469112781907787</v>
      </c>
      <c r="L13">
        <f t="shared" si="2"/>
        <v>5.4688369080559607</v>
      </c>
      <c r="M13">
        <f t="shared" si="3"/>
        <v>30.593765149683946</v>
      </c>
    </row>
    <row r="14" spans="2:16" x14ac:dyDescent="0.35">
      <c r="B14" s="1">
        <v>10</v>
      </c>
      <c r="C14" s="1">
        <v>12</v>
      </c>
      <c r="F14">
        <f t="shared" si="0"/>
        <v>5.7804859040286098</v>
      </c>
      <c r="G14">
        <f t="shared" si="1"/>
        <v>17.804299206101259</v>
      </c>
      <c r="L14">
        <f t="shared" si="2"/>
        <v>5.7804859040286098</v>
      </c>
      <c r="M14">
        <f t="shared" si="3"/>
        <v>38.68235558998682</v>
      </c>
    </row>
    <row r="15" spans="2:16" x14ac:dyDescent="0.35">
      <c r="F15" t="s">
        <v>10</v>
      </c>
      <c r="G15">
        <f>+SUM(G5:G14)</f>
        <v>78.915989160550794</v>
      </c>
      <c r="L15" t="s">
        <v>11</v>
      </c>
      <c r="M15">
        <f>+SUM(M5:M14)</f>
        <v>331.08401770797894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Atance del Olmo David</dc:creator>
  <cp:lastModifiedBy>Atance del Olmo David</cp:lastModifiedBy>
  <dcterms:created xsi:type="dcterms:W3CDTF">2026-09-29T12:09:23Z</dcterms:created>
  <dcterms:modified xsi:type="dcterms:W3CDTF">2026-10-16T08:04:31Z</dcterms:modified>
</cp:coreProperties>
</file>